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\Sheded Farm\"/>
    </mc:Choice>
  </mc:AlternateContent>
  <xr:revisionPtr revIDLastSave="0" documentId="13_ncr:1_{91818A6F-F519-4865-B0DB-0A2CDB54E76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Weekly Date" sheetId="1" r:id="rId1"/>
    <sheet name="Daily D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2" l="1"/>
  <c r="E10" i="1"/>
  <c r="R8" i="2"/>
  <c r="N8" i="2"/>
  <c r="M8" i="2"/>
  <c r="K8" i="2"/>
</calcChain>
</file>

<file path=xl/sharedStrings.xml><?xml version="1.0" encoding="utf-8"?>
<sst xmlns="http://schemas.openxmlformats.org/spreadsheetml/2006/main" count="189" uniqueCount="134">
  <si>
    <t>بيانات</t>
  </si>
  <si>
    <t>E</t>
  </si>
  <si>
    <t>عربي</t>
  </si>
  <si>
    <t>وحدة القياس</t>
  </si>
  <si>
    <t>البيان</t>
  </si>
  <si>
    <t>بيانات الصوبة</t>
  </si>
  <si>
    <t>owner</t>
  </si>
  <si>
    <t>مالك العنبر</t>
  </si>
  <si>
    <t>-</t>
  </si>
  <si>
    <t>أ. عمرو شديد – أ. مصطفي سليمان – أ. أحمد حسن</t>
  </si>
  <si>
    <t>بيانات التاريخ</t>
  </si>
  <si>
    <t>Date</t>
  </si>
  <si>
    <t>التاريخ</t>
  </si>
  <si>
    <t>Day</t>
  </si>
  <si>
    <t>اليوم</t>
  </si>
  <si>
    <t>Thursday</t>
  </si>
  <si>
    <t>Age</t>
  </si>
  <si>
    <t>العمر</t>
  </si>
  <si>
    <t>بيانات العدد والكتكوت</t>
  </si>
  <si>
    <t>Strain</t>
  </si>
  <si>
    <t>السلالة</t>
  </si>
  <si>
    <t>H&amp;N Super nick</t>
  </si>
  <si>
    <t>Actual Number Received</t>
  </si>
  <si>
    <t>العدد الفعلي المستلم</t>
  </si>
  <si>
    <t>طائر</t>
  </si>
  <si>
    <t>Power of Barn</t>
  </si>
  <si>
    <t xml:space="preserve">قوة العنبر </t>
  </si>
  <si>
    <t xml:space="preserve">Weekly Count of Mortality </t>
  </si>
  <si>
    <t>Mortality %</t>
  </si>
  <si>
    <t>النسبة المؤية للنافق</t>
  </si>
  <si>
    <t>نسبة مئوية</t>
  </si>
  <si>
    <t>بيانات العدد الحالي</t>
  </si>
  <si>
    <t>Current bird count</t>
  </si>
  <si>
    <t>عدد الطيور الحالية</t>
  </si>
  <si>
    <t>بيانات استهلاك المياه</t>
  </si>
  <si>
    <t>Weekly Water Consumption</t>
  </si>
  <si>
    <t>استهلاك المياه الأسبوعي</t>
  </si>
  <si>
    <t>لتر</t>
  </si>
  <si>
    <t>بيانات حالة العنبر</t>
  </si>
  <si>
    <t xml:space="preserve">Darkness </t>
  </si>
  <si>
    <t>الاظلام</t>
  </si>
  <si>
    <t>ساعات</t>
  </si>
  <si>
    <t>4 H</t>
  </si>
  <si>
    <t>Humidity</t>
  </si>
  <si>
    <t>الرطوبة</t>
  </si>
  <si>
    <t>Temperature</t>
  </si>
  <si>
    <t xml:space="preserve">الحرارة </t>
  </si>
  <si>
    <t>Very Good</t>
  </si>
  <si>
    <t>General health condition</t>
  </si>
  <si>
    <t>حالة القطيع العامة</t>
  </si>
  <si>
    <t>بيانات الوزن الأسبوعي</t>
  </si>
  <si>
    <t>Catalog Body weight</t>
  </si>
  <si>
    <t>الوزن الحي بكتالوج السلالة</t>
  </si>
  <si>
    <t>جرام</t>
  </si>
  <si>
    <t>BWG</t>
  </si>
  <si>
    <t>الوزن الحي المكتسب للكتكوت</t>
  </si>
  <si>
    <t>Weighted Number</t>
  </si>
  <si>
    <t>العدد الموزون</t>
  </si>
  <si>
    <t xml:space="preserve">Deviation value </t>
  </si>
  <si>
    <t>قيمة الانحراف</t>
  </si>
  <si>
    <t xml:space="preserve">Lower limit </t>
  </si>
  <si>
    <t>الحد الأدني</t>
  </si>
  <si>
    <t xml:space="preserve">Upper limit </t>
  </si>
  <si>
    <t>الحد الأعلى</t>
  </si>
  <si>
    <t xml:space="preserve">Uniformity % </t>
  </si>
  <si>
    <t>نسبة التجانس</t>
  </si>
  <si>
    <t>%</t>
  </si>
  <si>
    <t>بيانات استهلاك العلف</t>
  </si>
  <si>
    <t>Feed Counsumpation</t>
  </si>
  <si>
    <t>العلف المستهلك لكل طائر</t>
  </si>
  <si>
    <t>Cumultive Feed intak</t>
  </si>
  <si>
    <t>اجمالي العلف المستهلك</t>
  </si>
  <si>
    <t>كيلو</t>
  </si>
  <si>
    <t>ملاحظات</t>
  </si>
  <si>
    <t>التقرير المفصل</t>
  </si>
  <si>
    <t>التوصيات</t>
  </si>
  <si>
    <t xml:space="preserve">تحت إشراف 
    د/ إسلام محفوظ                                              م/ عبدالرحمن خالد السيسي
abdelrahamanelsisi71@gmail.com                    eslam_mahfoz@agr.asu.edu.eg
01116471334                                                  01005767785                                   </t>
  </si>
  <si>
    <t>طابع زمني</t>
  </si>
  <si>
    <t>عمر القطيع (باليوم)</t>
  </si>
  <si>
    <t>الحرارة الحالية (مئوية)</t>
  </si>
  <si>
    <t>الحرارة (Max) (مئوية)</t>
  </si>
  <si>
    <t>الحرارة (Min) (م)</t>
  </si>
  <si>
    <t>الرطوبة الحالية (%)</t>
  </si>
  <si>
    <t>الرطوبة (Max) (%)</t>
  </si>
  <si>
    <t>الرطوبة (Min) (%)</t>
  </si>
  <si>
    <t>النافق اليومي</t>
  </si>
  <si>
    <t>وجود إصابة مرضية</t>
  </si>
  <si>
    <t>استهلاك العلف اليومي (بالكيلو جرام)</t>
  </si>
  <si>
    <t>استهلاك العلف لكل طائر (بالجرام)</t>
  </si>
  <si>
    <t>استهلاك المياه اليومي (باللتر)</t>
  </si>
  <si>
    <t>عدد ساعات الاضاءة</t>
  </si>
  <si>
    <t>عدد ساعات الإظلام</t>
  </si>
  <si>
    <t>السولار (باللتر)</t>
  </si>
  <si>
    <t>الأدوية (صباحي + مسائي)</t>
  </si>
  <si>
    <t>التحصين</t>
  </si>
  <si>
    <t>عترة التحصينة</t>
  </si>
  <si>
    <t>إمضاء</t>
  </si>
  <si>
    <t>الملاحظات</t>
  </si>
  <si>
    <t>السبت</t>
  </si>
  <si>
    <t>م/عبدالرحمن السيسي</t>
  </si>
  <si>
    <t>الاحد</t>
  </si>
  <si>
    <t>م/ يوسف اشرف</t>
  </si>
  <si>
    <t>الثلاثاء</t>
  </si>
  <si>
    <t>الاربعاء</t>
  </si>
  <si>
    <t>الخميس</t>
  </si>
  <si>
    <t>_</t>
  </si>
  <si>
    <t>Clean water</t>
  </si>
  <si>
    <t>الإجمالي</t>
  </si>
  <si>
    <t>28/11/2025</t>
  </si>
  <si>
    <t>عدد النافق التراكمي الأسبوعي</t>
  </si>
  <si>
    <t>Good</t>
  </si>
  <si>
    <t>الحالة الصحية للقطيع جيدة جدا - نسبة التجانس ممتازة - ملاحظة النافق 200 كتكوت نتيجة خطأ لتكدس الكتاكيت أثناء التحصين - ملاحظة اعتدال نسبة الرطوبة عن الأسبوع الاول.</t>
  </si>
  <si>
    <t>يجب الحفاظ على عدد ساعات الإضاءة والاظلام - يجب متابعة انخفاض درجات الحرارة أثناء فترات الليل شديدة البرودة - توفير جهاز اللكس ميتر لظبط شدة الإضاءة وتغير اللمبات للمبات أقل في الوات.</t>
  </si>
  <si>
    <t>الحالة العامة للقطيع ممتازة - نسبة النافق مرتفعة عن الطبيعي - نسبة التجانس والوزن جيدة - معدل استهلاك العلف جيد جدا - معدل استهلاك المياه جيد جدا.</t>
  </si>
  <si>
    <t>9:06:23 م 2025/11/22</t>
  </si>
  <si>
    <t>8:55:04 م 2025/11/23</t>
  </si>
  <si>
    <t>9:11:02 م 2025/11/24</t>
  </si>
  <si>
    <t>9:05:07 م 2025/11/25</t>
  </si>
  <si>
    <t>4:45:53 ص 2025/11/27</t>
  </si>
  <si>
    <t>9:38:48 م 2025/11/27</t>
  </si>
  <si>
    <t>الاتنين</t>
  </si>
  <si>
    <t>9 day</t>
  </si>
  <si>
    <t>Minerals+ AD3E</t>
  </si>
  <si>
    <t>10 day</t>
  </si>
  <si>
    <t>Minerals+ AD3E + CLEAN WATER</t>
  </si>
  <si>
    <t>11 day</t>
  </si>
  <si>
    <t>Minerals+ AD3E+ CLEAN WATER</t>
  </si>
  <si>
    <t>لا يوجد والنافق بسبب حادثه وليست اصابه</t>
  </si>
  <si>
    <t>لايوجد</t>
  </si>
  <si>
    <t>تم تحصين القطيع ثنائي المصريه الاوروبيه نيوكاسل وانفلونزا H9 بمعدل 0.3 لكل طائر حقن تحت جلد الرقبه وتقطير جمبورو متوسط هيميفاك</t>
  </si>
  <si>
    <t>جمبورو متوسط هيميفاك</t>
  </si>
  <si>
    <t>التحقق من مناعات الجمبوور وتحديد موعد التحصينه القادمه</t>
  </si>
  <si>
    <t>13 day</t>
  </si>
  <si>
    <t>8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</si>
</sst>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2"/>
      <color theme="0"/>
      <name val="ADLaM Display"/>
    </font>
    <font>
      <b/>
      <sz val="20"/>
      <color rgb="FF000000"/>
      <name val="Arabic Typesetting"/>
      <family val="4"/>
    </font>
    <font>
      <b/>
      <sz val="22"/>
      <color theme="1"/>
      <name val="Arabic Typesetting"/>
      <family val="4"/>
    </font>
    <font>
      <b/>
      <sz val="20"/>
      <color theme="0"/>
      <name val="Arabic Typesetting"/>
      <family val="4"/>
    </font>
    <font>
      <b/>
      <sz val="20"/>
      <color theme="1"/>
      <name val="Arabic Typesetting"/>
      <family val="4"/>
    </font>
    <font>
      <sz val="1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0"/>
      <color theme="1"/>
      <name val="Arabic Typesetting"/>
      <family val="4"/>
    </font>
    <font>
      <sz val="30"/>
      <color theme="1"/>
      <name val="Arabic Typesetting"/>
      <family val="4"/>
    </font>
    <font>
      <sz val="12"/>
      <color rgb="FFFFFFFF"/>
      <name val="Roboto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b/>
      <sz val="48"/>
      <color theme="1"/>
      <name val="Arabic Typesetting"/>
      <family val="4"/>
    </font>
  </fonts>
  <fills count="1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 readingOrder="2"/>
    </xf>
    <xf numFmtId="0" fontId="5" fillId="8" borderId="1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 vertical="center" wrapText="1" readingOrder="2"/>
    </xf>
    <xf numFmtId="0" fontId="6" fillId="9" borderId="4" xfId="0" applyFont="1" applyFill="1" applyBorder="1" applyAlignment="1">
      <alignment horizontal="center" vertical="center" wrapText="1" readingOrder="2"/>
    </xf>
    <xf numFmtId="0" fontId="6" fillId="9" borderId="5" xfId="0" applyFont="1" applyFill="1" applyBorder="1" applyAlignment="1">
      <alignment horizontal="center" vertical="center" wrapText="1" readingOrder="2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9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0" fillId="0" borderId="0" xfId="0" applyFont="1"/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 readingOrder="2"/>
    </xf>
    <xf numFmtId="0" fontId="6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13" fillId="15" borderId="0" xfId="0" applyFont="1" applyFill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9" fontId="5" fillId="8" borderId="1" xfId="0" applyNumberFormat="1" applyFont="1" applyFill="1" applyBorder="1" applyAlignment="1">
      <alignment horizontal="center"/>
    </xf>
    <xf numFmtId="0" fontId="16" fillId="17" borderId="0" xfId="0" applyFont="1" applyFill="1" applyAlignment="1">
      <alignment horizontal="center" vertical="center" wrapText="1"/>
    </xf>
    <xf numFmtId="14" fontId="16" fillId="17" borderId="0" xfId="0" applyNumberFormat="1" applyFont="1" applyFill="1" applyAlignment="1">
      <alignment horizontal="center" vertical="center" wrapText="1"/>
    </xf>
    <xf numFmtId="0" fontId="17" fillId="17" borderId="0" xfId="0" applyFont="1" applyFill="1" applyAlignment="1">
      <alignment vertical="center" wrapText="1"/>
    </xf>
    <xf numFmtId="0" fontId="16" fillId="16" borderId="0" xfId="0" applyFont="1" applyFill="1" applyAlignment="1">
      <alignment horizontal="center" vertical="center" wrapText="1"/>
    </xf>
    <xf numFmtId="14" fontId="16" fillId="16" borderId="0" xfId="0" applyNumberFormat="1" applyFont="1" applyFill="1" applyAlignment="1">
      <alignment horizontal="center" vertical="center" wrapText="1"/>
    </xf>
    <xf numFmtId="0" fontId="17" fillId="16" borderId="0" xfId="0" applyFont="1" applyFill="1" applyAlignment="1">
      <alignment vertical="center" wrapText="1"/>
    </xf>
    <xf numFmtId="0" fontId="18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Temperatures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Date'!$E$1</c:f>
              <c:strCache>
                <c:ptCount val="1"/>
                <c:pt idx="0">
                  <c:v>الحرارة الحالية (مئوية)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'Daily Date'!$D$2:$D$7</c:f>
              <c:strCache>
                <c:ptCount val="6"/>
                <c:pt idx="0">
                  <c:v>8 day</c:v>
                </c:pt>
                <c:pt idx="1">
                  <c:v>9 day</c:v>
                </c:pt>
                <c:pt idx="2">
                  <c:v>10 day</c:v>
                </c:pt>
                <c:pt idx="3">
                  <c:v>11 day</c:v>
                </c:pt>
                <c:pt idx="4">
                  <c:v>12</c:v>
                </c:pt>
                <c:pt idx="5">
                  <c:v>13 day</c:v>
                </c:pt>
              </c:strCache>
            </c:strRef>
          </c:cat>
          <c:val>
            <c:numRef>
              <c:f>'Daily Date'!$E$2:$E$7</c:f>
              <c:numCache>
                <c:formatCode>General</c:formatCode>
                <c:ptCount val="6"/>
                <c:pt idx="0">
                  <c:v>31</c:v>
                </c:pt>
                <c:pt idx="1">
                  <c:v>31.5</c:v>
                </c:pt>
                <c:pt idx="2">
                  <c:v>31</c:v>
                </c:pt>
                <c:pt idx="3">
                  <c:v>31.6</c:v>
                </c:pt>
                <c:pt idx="4">
                  <c:v>30</c:v>
                </c:pt>
                <c:pt idx="5">
                  <c:v>31.6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9-429A-98EF-D649FEAD091A}"/>
            </c:ext>
          </c:extLst>
        </c:ser>
        <c:ser>
          <c:idx val="1"/>
          <c:order val="1"/>
          <c:tx>
            <c:strRef>
              <c:f>'Daily Date'!$F$1</c:f>
              <c:strCache>
                <c:ptCount val="1"/>
                <c:pt idx="0">
                  <c:v>الحرارة (Max) (مئوية)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'Daily Date'!$D$2:$D$7</c:f>
              <c:strCache>
                <c:ptCount val="6"/>
                <c:pt idx="0">
                  <c:v>8 day</c:v>
                </c:pt>
                <c:pt idx="1">
                  <c:v>9 day</c:v>
                </c:pt>
                <c:pt idx="2">
                  <c:v>10 day</c:v>
                </c:pt>
                <c:pt idx="3">
                  <c:v>11 day</c:v>
                </c:pt>
                <c:pt idx="4">
                  <c:v>12</c:v>
                </c:pt>
                <c:pt idx="5">
                  <c:v>13 day</c:v>
                </c:pt>
              </c:strCache>
            </c:strRef>
          </c:cat>
          <c:val>
            <c:numRef>
              <c:f>'Daily Date'!$F$2:$F$7</c:f>
              <c:numCache>
                <c:formatCode>General</c:formatCode>
                <c:ptCount val="6"/>
                <c:pt idx="0">
                  <c:v>34.4</c:v>
                </c:pt>
                <c:pt idx="1">
                  <c:v>34.700000000000003</c:v>
                </c:pt>
                <c:pt idx="2">
                  <c:v>34.700000000000003</c:v>
                </c:pt>
                <c:pt idx="3">
                  <c:v>34.200000000000003</c:v>
                </c:pt>
                <c:pt idx="4">
                  <c:v>33</c:v>
                </c:pt>
                <c:pt idx="5">
                  <c:v>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9-429A-98EF-D649FEAD091A}"/>
            </c:ext>
          </c:extLst>
        </c:ser>
        <c:ser>
          <c:idx val="2"/>
          <c:order val="2"/>
          <c:tx>
            <c:strRef>
              <c:f>'Daily Date'!$G$1</c:f>
              <c:strCache>
                <c:ptCount val="1"/>
                <c:pt idx="0">
                  <c:v>الحرارة (Min) (م)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'Daily Date'!$D$2:$D$7</c:f>
              <c:strCache>
                <c:ptCount val="6"/>
                <c:pt idx="0">
                  <c:v>8 day</c:v>
                </c:pt>
                <c:pt idx="1">
                  <c:v>9 day</c:v>
                </c:pt>
                <c:pt idx="2">
                  <c:v>10 day</c:v>
                </c:pt>
                <c:pt idx="3">
                  <c:v>11 day</c:v>
                </c:pt>
                <c:pt idx="4">
                  <c:v>12</c:v>
                </c:pt>
                <c:pt idx="5">
                  <c:v>13 day</c:v>
                </c:pt>
              </c:strCache>
            </c:strRef>
          </c:cat>
          <c:val>
            <c:numRef>
              <c:f>'Daily Date'!$G$2:$G$7</c:f>
              <c:numCache>
                <c:formatCode>General</c:formatCode>
                <c:ptCount val="6"/>
                <c:pt idx="0">
                  <c:v>29.5</c:v>
                </c:pt>
                <c:pt idx="1">
                  <c:v>30</c:v>
                </c:pt>
                <c:pt idx="2">
                  <c:v>29.1</c:v>
                </c:pt>
                <c:pt idx="3">
                  <c:v>29.7</c:v>
                </c:pt>
                <c:pt idx="4">
                  <c:v>29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59-429A-98EF-D649FEAD0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5145344"/>
        <c:axId val="755148224"/>
      </c:barChart>
      <c:catAx>
        <c:axId val="7551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48224"/>
        <c:crosses val="autoZero"/>
        <c:auto val="1"/>
        <c:lblAlgn val="ctr"/>
        <c:lblOffset val="100"/>
        <c:noMultiLvlLbl val="0"/>
      </c:catAx>
      <c:valAx>
        <c:axId val="75514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Humidity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Date'!$H$1</c:f>
              <c:strCache>
                <c:ptCount val="1"/>
                <c:pt idx="0">
                  <c:v>الرطوبة الحالية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'Daily Date'!$D$2:$D$7</c:f>
              <c:strCache>
                <c:ptCount val="6"/>
                <c:pt idx="0">
                  <c:v>8 day</c:v>
                </c:pt>
                <c:pt idx="1">
                  <c:v>9 day</c:v>
                </c:pt>
                <c:pt idx="2">
                  <c:v>10 day</c:v>
                </c:pt>
                <c:pt idx="3">
                  <c:v>11 day</c:v>
                </c:pt>
                <c:pt idx="4">
                  <c:v>12</c:v>
                </c:pt>
                <c:pt idx="5">
                  <c:v>13 day</c:v>
                </c:pt>
              </c:strCache>
            </c:strRef>
          </c:cat>
          <c:val>
            <c:numRef>
              <c:f>'Daily Date'!$H$2:$H$7</c:f>
              <c:numCache>
                <c:formatCode>General</c:formatCode>
                <c:ptCount val="6"/>
                <c:pt idx="0">
                  <c:v>42</c:v>
                </c:pt>
                <c:pt idx="1">
                  <c:v>41</c:v>
                </c:pt>
                <c:pt idx="2">
                  <c:v>48</c:v>
                </c:pt>
                <c:pt idx="3">
                  <c:v>40</c:v>
                </c:pt>
                <c:pt idx="4">
                  <c:v>40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4-4B9C-A21E-B9C8D580C90A}"/>
            </c:ext>
          </c:extLst>
        </c:ser>
        <c:ser>
          <c:idx val="1"/>
          <c:order val="1"/>
          <c:tx>
            <c:strRef>
              <c:f>'Daily Date'!$I$1</c:f>
              <c:strCache>
                <c:ptCount val="1"/>
                <c:pt idx="0">
                  <c:v>الرطوبة (Max) (%)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'Daily Date'!$D$2:$D$7</c:f>
              <c:strCache>
                <c:ptCount val="6"/>
                <c:pt idx="0">
                  <c:v>8 day</c:v>
                </c:pt>
                <c:pt idx="1">
                  <c:v>9 day</c:v>
                </c:pt>
                <c:pt idx="2">
                  <c:v>10 day</c:v>
                </c:pt>
                <c:pt idx="3">
                  <c:v>11 day</c:v>
                </c:pt>
                <c:pt idx="4">
                  <c:v>12</c:v>
                </c:pt>
                <c:pt idx="5">
                  <c:v>13 day</c:v>
                </c:pt>
              </c:strCache>
            </c:strRef>
          </c:cat>
          <c:val>
            <c:numRef>
              <c:f>'Daily Date'!$I$2:$I$7</c:f>
              <c:numCache>
                <c:formatCode>General</c:formatCode>
                <c:ptCount val="6"/>
                <c:pt idx="0">
                  <c:v>42</c:v>
                </c:pt>
                <c:pt idx="1">
                  <c:v>41</c:v>
                </c:pt>
                <c:pt idx="2">
                  <c:v>51</c:v>
                </c:pt>
                <c:pt idx="3">
                  <c:v>48</c:v>
                </c:pt>
                <c:pt idx="4">
                  <c:v>43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4-4B9C-A21E-B9C8D580C90A}"/>
            </c:ext>
          </c:extLst>
        </c:ser>
        <c:ser>
          <c:idx val="2"/>
          <c:order val="2"/>
          <c:tx>
            <c:strRef>
              <c:f>'Daily Date'!$J$1</c:f>
              <c:strCache>
                <c:ptCount val="1"/>
                <c:pt idx="0">
                  <c:v>الرطوبة (Min) (%)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'Daily Date'!$D$2:$D$7</c:f>
              <c:strCache>
                <c:ptCount val="6"/>
                <c:pt idx="0">
                  <c:v>8 day</c:v>
                </c:pt>
                <c:pt idx="1">
                  <c:v>9 day</c:v>
                </c:pt>
                <c:pt idx="2">
                  <c:v>10 day</c:v>
                </c:pt>
                <c:pt idx="3">
                  <c:v>11 day</c:v>
                </c:pt>
                <c:pt idx="4">
                  <c:v>12</c:v>
                </c:pt>
                <c:pt idx="5">
                  <c:v>13 day</c:v>
                </c:pt>
              </c:strCache>
            </c:strRef>
          </c:cat>
          <c:val>
            <c:numRef>
              <c:f>'Daily Date'!$J$2:$J$7</c:f>
              <c:numCache>
                <c:formatCode>General</c:formatCode>
                <c:ptCount val="6"/>
                <c:pt idx="0">
                  <c:v>35</c:v>
                </c:pt>
                <c:pt idx="1">
                  <c:v>34</c:v>
                </c:pt>
                <c:pt idx="2">
                  <c:v>37</c:v>
                </c:pt>
                <c:pt idx="3">
                  <c:v>30</c:v>
                </c:pt>
                <c:pt idx="4">
                  <c:v>35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B4-4B9C-A21E-B9C8D580C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5171984"/>
        <c:axId val="755174144"/>
      </c:barChart>
      <c:catAx>
        <c:axId val="75517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74144"/>
        <c:crosses val="autoZero"/>
        <c:auto val="1"/>
        <c:lblAlgn val="ctr"/>
        <c:lblOffset val="100"/>
        <c:noMultiLvlLbl val="0"/>
      </c:catAx>
      <c:valAx>
        <c:axId val="7551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7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Mortality</a:t>
            </a:r>
            <a:r>
              <a:rPr lang="en-US" baseline="0"/>
              <a:t>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Date'!$K$1</c:f>
              <c:strCache>
                <c:ptCount val="1"/>
                <c:pt idx="0">
                  <c:v>النافق اليومي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Date'!$D$2:$D$7</c:f>
              <c:strCache>
                <c:ptCount val="6"/>
                <c:pt idx="0">
                  <c:v>8 day</c:v>
                </c:pt>
                <c:pt idx="1">
                  <c:v>9 day</c:v>
                </c:pt>
                <c:pt idx="2">
                  <c:v>10 day</c:v>
                </c:pt>
                <c:pt idx="3">
                  <c:v>11 day</c:v>
                </c:pt>
                <c:pt idx="4">
                  <c:v>12</c:v>
                </c:pt>
                <c:pt idx="5">
                  <c:v>13 day</c:v>
                </c:pt>
              </c:strCache>
            </c:strRef>
          </c:cat>
          <c:val>
            <c:numRef>
              <c:f>'Daily Date'!$K$2:$K$7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200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7-4699-8AE1-524D0C4B0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135264"/>
        <c:axId val="755135624"/>
      </c:lineChart>
      <c:catAx>
        <c:axId val="75513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35624"/>
        <c:crosses val="autoZero"/>
        <c:auto val="1"/>
        <c:lblAlgn val="ctr"/>
        <c:lblOffset val="100"/>
        <c:noMultiLvlLbl val="0"/>
      </c:catAx>
      <c:valAx>
        <c:axId val="75513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3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'Daily Date'!$M$1</c:f>
              <c:strCache>
                <c:ptCount val="1"/>
                <c:pt idx="0">
                  <c:v>استهلاك العلف اليومي (بالكيلو جرام)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Date'!$D$2:$D$7</c:f>
              <c:strCache>
                <c:ptCount val="6"/>
                <c:pt idx="0">
                  <c:v>8 day</c:v>
                </c:pt>
                <c:pt idx="1">
                  <c:v>9 day</c:v>
                </c:pt>
                <c:pt idx="2">
                  <c:v>10 day</c:v>
                </c:pt>
                <c:pt idx="3">
                  <c:v>11 day</c:v>
                </c:pt>
                <c:pt idx="4">
                  <c:v>12</c:v>
                </c:pt>
                <c:pt idx="5">
                  <c:v>13 day</c:v>
                </c:pt>
              </c:strCache>
            </c:strRef>
          </c:cat>
          <c:val>
            <c:numRef>
              <c:f>'Daily Date'!$M$2:$M$7</c:f>
              <c:numCache>
                <c:formatCode>General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FA-4CDC-BB65-2BCC42A13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166224"/>
        <c:axId val="755169464"/>
      </c:lineChart>
      <c:catAx>
        <c:axId val="75516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69464"/>
        <c:crosses val="autoZero"/>
        <c:auto val="1"/>
        <c:lblAlgn val="ctr"/>
        <c:lblOffset val="100"/>
        <c:noMultiLvlLbl val="0"/>
      </c:catAx>
      <c:valAx>
        <c:axId val="75516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6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Date'!$O$1</c:f>
              <c:strCache>
                <c:ptCount val="1"/>
                <c:pt idx="0">
                  <c:v>استهلاك المياه اليومي (باللتر)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Date'!$D$2:$D$7</c:f>
              <c:strCache>
                <c:ptCount val="6"/>
                <c:pt idx="0">
                  <c:v>8 day</c:v>
                </c:pt>
                <c:pt idx="1">
                  <c:v>9 day</c:v>
                </c:pt>
                <c:pt idx="2">
                  <c:v>10 day</c:v>
                </c:pt>
                <c:pt idx="3">
                  <c:v>11 day</c:v>
                </c:pt>
                <c:pt idx="4">
                  <c:v>12</c:v>
                </c:pt>
                <c:pt idx="5">
                  <c:v>13 day</c:v>
                </c:pt>
              </c:strCache>
            </c:strRef>
          </c:cat>
          <c:val>
            <c:numRef>
              <c:f>'Daily Date'!$O$2:$O$7</c:f>
              <c:numCache>
                <c:formatCode>General</c:formatCode>
                <c:ptCount val="6"/>
                <c:pt idx="0">
                  <c:v>140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72-42F5-B7C8-E64644EC1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172704"/>
        <c:axId val="755170904"/>
      </c:lineChart>
      <c:catAx>
        <c:axId val="75517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70904"/>
        <c:crosses val="autoZero"/>
        <c:auto val="1"/>
        <c:lblAlgn val="ctr"/>
        <c:lblOffset val="100"/>
        <c:noMultiLvlLbl val="0"/>
      </c:catAx>
      <c:valAx>
        <c:axId val="75517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7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Date'!$R$1</c:f>
              <c:strCache>
                <c:ptCount val="1"/>
                <c:pt idx="0">
                  <c:v>السولار (باللتر)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Date'!$D$2:$D$7</c:f>
              <c:strCache>
                <c:ptCount val="6"/>
                <c:pt idx="0">
                  <c:v>8 day</c:v>
                </c:pt>
                <c:pt idx="1">
                  <c:v>9 day</c:v>
                </c:pt>
                <c:pt idx="2">
                  <c:v>10 day</c:v>
                </c:pt>
                <c:pt idx="3">
                  <c:v>11 day</c:v>
                </c:pt>
                <c:pt idx="4">
                  <c:v>12</c:v>
                </c:pt>
                <c:pt idx="5">
                  <c:v>13 day</c:v>
                </c:pt>
              </c:strCache>
            </c:strRef>
          </c:cat>
          <c:val>
            <c:numRef>
              <c:f>'Daily Date'!$R$2:$R$7</c:f>
              <c:numCache>
                <c:formatCode>General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50</c:v>
                </c:pt>
                <c:pt idx="3">
                  <c:v>40</c:v>
                </c:pt>
                <c:pt idx="4">
                  <c:v>40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B-48CE-9906-5624C3E9E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175944"/>
        <c:axId val="755180264"/>
      </c:lineChart>
      <c:catAx>
        <c:axId val="75517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80264"/>
        <c:crosses val="autoZero"/>
        <c:auto val="1"/>
        <c:lblAlgn val="ctr"/>
        <c:lblOffset val="100"/>
        <c:noMultiLvlLbl val="0"/>
      </c:catAx>
      <c:valAx>
        <c:axId val="75518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75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11257</xdr:rowOff>
    </xdr:from>
    <xdr:to>
      <xdr:col>9</xdr:col>
      <xdr:colOff>314324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763CD-E5F1-D7A8-E86D-35659AF73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609599</xdr:colOff>
      <xdr:row>10</xdr:row>
      <xdr:rowOff>33337</xdr:rowOff>
    </xdr:from>
    <xdr:to>
      <xdr:col>18</xdr:col>
      <xdr:colOff>1047749</xdr:colOff>
      <xdr:row>31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8287A-47F8-33D2-DECB-BD8D3718E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1315704</xdr:colOff>
      <xdr:row>10</xdr:row>
      <xdr:rowOff>23812</xdr:rowOff>
    </xdr:from>
    <xdr:to>
      <xdr:col>23</xdr:col>
      <xdr:colOff>-1</xdr:colOff>
      <xdr:row>30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58E781-2C70-F657-1E8E-BF82430BA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25718</xdr:rowOff>
    </xdr:from>
    <xdr:to>
      <xdr:col>9</xdr:col>
      <xdr:colOff>286966</xdr:colOff>
      <xdr:row>50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CAEEF0-E0DF-E4C7-3672-DD24495D3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562499</xdr:colOff>
      <xdr:row>32</xdr:row>
      <xdr:rowOff>52387</xdr:rowOff>
    </xdr:from>
    <xdr:to>
      <xdr:col>18</xdr:col>
      <xdr:colOff>1055097</xdr:colOff>
      <xdr:row>50</xdr:row>
      <xdr:rowOff>47624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BA5647-5DBF-5070-FF4D-105570F6B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1304925</xdr:colOff>
      <xdr:row>32</xdr:row>
      <xdr:rowOff>128587</xdr:rowOff>
    </xdr:from>
    <xdr:to>
      <xdr:col>22</xdr:col>
      <xdr:colOff>1657350</xdr:colOff>
      <xdr:row>50</xdr:row>
      <xdr:rowOff>85724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42A929-FE42-9FC4-F764-D04D3C471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rightToLeft="1" tabSelected="1" zoomScale="70" zoomScaleNormal="70" workbookViewId="0">
      <selection activeCell="B32" sqref="B32:E33"/>
    </sheetView>
  </sheetViews>
  <sheetFormatPr defaultRowHeight="14.4" x14ac:dyDescent="0.55000000000000004"/>
  <cols>
    <col min="1" max="1" width="32.89453125" customWidth="1"/>
    <col min="2" max="2" width="33.41796875" customWidth="1"/>
    <col min="3" max="4" width="32.89453125" customWidth="1"/>
    <col min="5" max="5" width="92.15625" customWidth="1"/>
  </cols>
  <sheetData>
    <row r="1" spans="1:5" ht="30" thickBot="1" x14ac:dyDescent="0.6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27.9" customHeight="1" thickBot="1" x14ac:dyDescent="1.7">
      <c r="A2" s="6" t="s">
        <v>5</v>
      </c>
      <c r="B2" s="6" t="s">
        <v>6</v>
      </c>
      <c r="C2" s="6" t="s">
        <v>7</v>
      </c>
      <c r="D2" s="42" t="s">
        <v>8</v>
      </c>
      <c r="E2" s="7" t="s">
        <v>9</v>
      </c>
    </row>
    <row r="3" spans="1:5" ht="32.1" thickBot="1" x14ac:dyDescent="1.7">
      <c r="A3" s="8" t="s">
        <v>10</v>
      </c>
      <c r="B3" s="43" t="s">
        <v>11</v>
      </c>
      <c r="C3" s="43" t="s">
        <v>12</v>
      </c>
      <c r="D3" s="44" t="s">
        <v>8</v>
      </c>
      <c r="E3" s="7" t="s">
        <v>108</v>
      </c>
    </row>
    <row r="4" spans="1:5" ht="32.1" thickBot="1" x14ac:dyDescent="1.7">
      <c r="A4" s="9"/>
      <c r="B4" s="43" t="s">
        <v>13</v>
      </c>
      <c r="C4" s="43" t="s">
        <v>14</v>
      </c>
      <c r="D4" s="44" t="s">
        <v>8</v>
      </c>
      <c r="E4" s="7" t="s">
        <v>15</v>
      </c>
    </row>
    <row r="5" spans="1:5" ht="32.1" thickBot="1" x14ac:dyDescent="1.7">
      <c r="A5" s="10"/>
      <c r="B5" s="43" t="s">
        <v>16</v>
      </c>
      <c r="C5" s="43" t="s">
        <v>17</v>
      </c>
      <c r="D5" s="44" t="s">
        <v>8</v>
      </c>
      <c r="E5" s="7">
        <v>14</v>
      </c>
    </row>
    <row r="6" spans="1:5" ht="31.8" x14ac:dyDescent="1.65">
      <c r="A6" s="11" t="s">
        <v>18</v>
      </c>
      <c r="B6" s="45" t="s">
        <v>19</v>
      </c>
      <c r="C6" s="45" t="s">
        <v>20</v>
      </c>
      <c r="D6" s="45" t="s">
        <v>8</v>
      </c>
      <c r="E6" s="7" t="s">
        <v>21</v>
      </c>
    </row>
    <row r="7" spans="1:5" ht="31.8" x14ac:dyDescent="1.65">
      <c r="A7" s="12"/>
      <c r="B7" s="45" t="s">
        <v>22</v>
      </c>
      <c r="C7" s="45" t="s">
        <v>23</v>
      </c>
      <c r="D7" s="45" t="s">
        <v>24</v>
      </c>
      <c r="E7" s="7">
        <v>5200</v>
      </c>
    </row>
    <row r="8" spans="1:5" ht="31.8" x14ac:dyDescent="1.65">
      <c r="A8" s="12"/>
      <c r="B8" s="45" t="s">
        <v>25</v>
      </c>
      <c r="C8" s="45" t="s">
        <v>26</v>
      </c>
      <c r="D8" s="45" t="s">
        <v>24</v>
      </c>
      <c r="E8" s="7">
        <v>5000</v>
      </c>
    </row>
    <row r="9" spans="1:5" ht="31.8" x14ac:dyDescent="1.65">
      <c r="A9" s="13"/>
      <c r="B9" s="46" t="s">
        <v>27</v>
      </c>
      <c r="C9" s="46" t="s">
        <v>109</v>
      </c>
      <c r="D9" s="46" t="s">
        <v>24</v>
      </c>
      <c r="E9" s="7">
        <v>209</v>
      </c>
    </row>
    <row r="10" spans="1:5" ht="31.8" x14ac:dyDescent="1.65">
      <c r="A10" s="14"/>
      <c r="B10" s="46" t="s">
        <v>28</v>
      </c>
      <c r="C10" s="46" t="s">
        <v>29</v>
      </c>
      <c r="D10" s="46" t="s">
        <v>30</v>
      </c>
      <c r="E10" s="15">
        <f>(E9/E7)*100</f>
        <v>4.0192307692307692</v>
      </c>
    </row>
    <row r="11" spans="1:5" ht="31.8" x14ac:dyDescent="1.65">
      <c r="A11" s="16" t="s">
        <v>31</v>
      </c>
      <c r="B11" s="16" t="s">
        <v>32</v>
      </c>
      <c r="C11" s="16" t="s">
        <v>33</v>
      </c>
      <c r="D11" s="16" t="s">
        <v>24</v>
      </c>
      <c r="E11" s="7">
        <v>4815</v>
      </c>
    </row>
    <row r="12" spans="1:5" ht="31.8" x14ac:dyDescent="1.65">
      <c r="A12" s="17" t="s">
        <v>34</v>
      </c>
      <c r="B12" s="17" t="s">
        <v>35</v>
      </c>
      <c r="C12" s="17" t="s">
        <v>36</v>
      </c>
      <c r="D12" s="17" t="s">
        <v>37</v>
      </c>
      <c r="E12" s="7">
        <v>1020</v>
      </c>
    </row>
    <row r="13" spans="1:5" ht="31.8" x14ac:dyDescent="1.65">
      <c r="A13" s="18" t="s">
        <v>38</v>
      </c>
      <c r="B13" s="47" t="s">
        <v>39</v>
      </c>
      <c r="C13" s="47" t="s">
        <v>40</v>
      </c>
      <c r="D13" s="47" t="s">
        <v>41</v>
      </c>
      <c r="E13" s="7" t="s">
        <v>42</v>
      </c>
    </row>
    <row r="14" spans="1:5" ht="31.8" x14ac:dyDescent="1.65">
      <c r="A14" s="19"/>
      <c r="B14" s="47" t="s">
        <v>43</v>
      </c>
      <c r="C14" s="47" t="s">
        <v>44</v>
      </c>
      <c r="D14" s="47" t="s">
        <v>8</v>
      </c>
      <c r="E14" s="7" t="s">
        <v>110</v>
      </c>
    </row>
    <row r="15" spans="1:5" ht="31.8" x14ac:dyDescent="1.65">
      <c r="A15" s="19"/>
      <c r="B15" s="47" t="s">
        <v>45</v>
      </c>
      <c r="C15" s="47" t="s">
        <v>46</v>
      </c>
      <c r="D15" s="47" t="s">
        <v>8</v>
      </c>
      <c r="E15" s="7" t="s">
        <v>47</v>
      </c>
    </row>
    <row r="16" spans="1:5" ht="31.8" x14ac:dyDescent="1.65">
      <c r="A16" s="19"/>
      <c r="B16" s="47" t="s">
        <v>48</v>
      </c>
      <c r="C16" s="47" t="s">
        <v>49</v>
      </c>
      <c r="D16" s="47" t="s">
        <v>8</v>
      </c>
      <c r="E16" s="7" t="s">
        <v>47</v>
      </c>
    </row>
    <row r="17" spans="1:5" ht="31.8" x14ac:dyDescent="1.65">
      <c r="A17" s="20" t="s">
        <v>50</v>
      </c>
      <c r="B17" s="48" t="s">
        <v>51</v>
      </c>
      <c r="C17" s="49" t="s">
        <v>52</v>
      </c>
      <c r="D17" s="49" t="s">
        <v>53</v>
      </c>
      <c r="E17" s="7">
        <v>120</v>
      </c>
    </row>
    <row r="18" spans="1:5" ht="31.8" x14ac:dyDescent="1.65">
      <c r="A18" s="20"/>
      <c r="B18" s="48" t="s">
        <v>54</v>
      </c>
      <c r="C18" s="49" t="s">
        <v>55</v>
      </c>
      <c r="D18" s="49" t="s">
        <v>53</v>
      </c>
      <c r="E18" s="7">
        <v>124.9</v>
      </c>
    </row>
    <row r="19" spans="1:5" ht="31.8" x14ac:dyDescent="1.65">
      <c r="A19" s="20"/>
      <c r="B19" s="48" t="s">
        <v>56</v>
      </c>
      <c r="C19" s="49" t="s">
        <v>57</v>
      </c>
      <c r="D19" s="49" t="s">
        <v>24</v>
      </c>
      <c r="E19" s="7">
        <v>250</v>
      </c>
    </row>
    <row r="20" spans="1:5" ht="31.8" x14ac:dyDescent="1.65">
      <c r="A20" s="20"/>
      <c r="B20" s="48" t="s">
        <v>58</v>
      </c>
      <c r="C20" s="49" t="s">
        <v>59</v>
      </c>
      <c r="D20" s="49" t="s">
        <v>8</v>
      </c>
      <c r="E20" s="7">
        <v>12.4</v>
      </c>
    </row>
    <row r="21" spans="1:5" ht="31.8" x14ac:dyDescent="1.65">
      <c r="A21" s="20"/>
      <c r="B21" s="48" t="s">
        <v>60</v>
      </c>
      <c r="C21" s="49" t="s">
        <v>61</v>
      </c>
      <c r="D21" s="49" t="s">
        <v>53</v>
      </c>
      <c r="E21" s="7">
        <v>112.4</v>
      </c>
    </row>
    <row r="22" spans="1:5" ht="31.8" x14ac:dyDescent="1.65">
      <c r="A22" s="20"/>
      <c r="B22" s="48" t="s">
        <v>62</v>
      </c>
      <c r="C22" s="49" t="s">
        <v>63</v>
      </c>
      <c r="D22" s="49" t="s">
        <v>53</v>
      </c>
      <c r="E22" s="7">
        <v>137.4</v>
      </c>
    </row>
    <row r="23" spans="1:5" ht="31.8" x14ac:dyDescent="1.65">
      <c r="A23" s="21"/>
      <c r="B23" s="48" t="s">
        <v>64</v>
      </c>
      <c r="C23" s="49" t="s">
        <v>65</v>
      </c>
      <c r="D23" s="49" t="s">
        <v>66</v>
      </c>
      <c r="E23" s="55">
        <v>0.80400000000000005</v>
      </c>
    </row>
    <row r="24" spans="1:5" ht="31.8" x14ac:dyDescent="1.65">
      <c r="A24" s="22" t="s">
        <v>67</v>
      </c>
      <c r="B24" s="50" t="s">
        <v>68</v>
      </c>
      <c r="C24" s="50" t="s">
        <v>69</v>
      </c>
      <c r="D24" s="50" t="s">
        <v>53</v>
      </c>
      <c r="E24" s="7">
        <v>20</v>
      </c>
    </row>
    <row r="25" spans="1:5" ht="31.8" x14ac:dyDescent="1.65">
      <c r="A25" s="23"/>
      <c r="B25" s="50" t="s">
        <v>70</v>
      </c>
      <c r="C25" s="50" t="s">
        <v>71</v>
      </c>
      <c r="D25" s="50" t="s">
        <v>72</v>
      </c>
      <c r="E25" s="7">
        <v>540</v>
      </c>
    </row>
    <row r="26" spans="1:5" ht="48.3" customHeight="1" x14ac:dyDescent="0.55000000000000004"/>
    <row r="27" spans="1:5" ht="26.1" customHeight="1" x14ac:dyDescent="0.55000000000000004">
      <c r="A27" s="24" t="s">
        <v>73</v>
      </c>
      <c r="B27" s="25" t="s">
        <v>111</v>
      </c>
      <c r="C27" s="26"/>
      <c r="D27" s="26"/>
      <c r="E27" s="27"/>
    </row>
    <row r="28" spans="1:5" ht="38.1" customHeight="1" x14ac:dyDescent="0.55000000000000004">
      <c r="A28" s="24"/>
      <c r="B28" s="28"/>
      <c r="C28" s="29"/>
      <c r="D28" s="29"/>
      <c r="E28" s="30"/>
    </row>
    <row r="29" spans="1:5" x14ac:dyDescent="0.55000000000000004">
      <c r="A29" s="31" t="s">
        <v>74</v>
      </c>
      <c r="B29" s="32" t="s">
        <v>113</v>
      </c>
      <c r="C29" s="32"/>
      <c r="D29" s="32"/>
      <c r="E29" s="32"/>
    </row>
    <row r="30" spans="1:5" x14ac:dyDescent="0.55000000000000004">
      <c r="A30" s="33"/>
      <c r="B30" s="32"/>
      <c r="C30" s="32"/>
      <c r="D30" s="32"/>
      <c r="E30" s="32"/>
    </row>
    <row r="31" spans="1:5" ht="36.299999999999997" customHeight="1" x14ac:dyDescent="0.55000000000000004">
      <c r="A31" s="34"/>
      <c r="B31" s="32"/>
      <c r="C31" s="32"/>
      <c r="D31" s="32"/>
      <c r="E31" s="32"/>
    </row>
    <row r="32" spans="1:5" x14ac:dyDescent="0.55000000000000004">
      <c r="A32" s="35" t="s">
        <v>75</v>
      </c>
      <c r="B32" s="36" t="s">
        <v>112</v>
      </c>
      <c r="C32" s="36"/>
      <c r="D32" s="36"/>
      <c r="E32" s="36"/>
    </row>
    <row r="33" spans="1:5" ht="48.6" customHeight="1" x14ac:dyDescent="0.55000000000000004">
      <c r="A33" s="37"/>
      <c r="B33" s="38"/>
      <c r="C33" s="38"/>
      <c r="D33" s="38"/>
      <c r="E33" s="38"/>
    </row>
    <row r="34" spans="1:5" ht="28.2" x14ac:dyDescent="1.05">
      <c r="E34" s="39"/>
    </row>
    <row r="35" spans="1:5" ht="13.2" customHeight="1" x14ac:dyDescent="1.05">
      <c r="E35" s="39"/>
    </row>
    <row r="36" spans="1:5" ht="51.6" customHeight="1" x14ac:dyDescent="0.55000000000000004">
      <c r="A36" s="40" t="s">
        <v>76</v>
      </c>
      <c r="B36" s="41"/>
      <c r="C36" s="41"/>
      <c r="D36" s="41"/>
      <c r="E36" s="41"/>
    </row>
    <row r="37" spans="1:5" x14ac:dyDescent="0.55000000000000004">
      <c r="A37" s="41"/>
      <c r="B37" s="41"/>
      <c r="C37" s="41"/>
      <c r="D37" s="41"/>
      <c r="E37" s="41"/>
    </row>
    <row r="38" spans="1:5" x14ac:dyDescent="0.55000000000000004">
      <c r="A38" s="41"/>
      <c r="B38" s="41"/>
      <c r="C38" s="41"/>
      <c r="D38" s="41"/>
      <c r="E38" s="41"/>
    </row>
    <row r="39" spans="1:5" x14ac:dyDescent="0.55000000000000004">
      <c r="A39" s="41"/>
      <c r="B39" s="41"/>
      <c r="C39" s="41"/>
      <c r="D39" s="41"/>
      <c r="E39" s="41"/>
    </row>
    <row r="40" spans="1:5" x14ac:dyDescent="0.55000000000000004">
      <c r="A40" s="41"/>
      <c r="B40" s="41"/>
      <c r="C40" s="41"/>
      <c r="D40" s="41"/>
      <c r="E40" s="41"/>
    </row>
    <row r="41" spans="1:5" x14ac:dyDescent="0.55000000000000004">
      <c r="A41" s="41"/>
      <c r="B41" s="41"/>
      <c r="C41" s="41"/>
      <c r="D41" s="41"/>
      <c r="E41" s="41"/>
    </row>
    <row r="42" spans="1:5" x14ac:dyDescent="0.55000000000000004">
      <c r="A42" s="41"/>
      <c r="B42" s="41"/>
      <c r="C42" s="41"/>
      <c r="D42" s="41"/>
      <c r="E42" s="41"/>
    </row>
    <row r="43" spans="1:5" x14ac:dyDescent="0.55000000000000004">
      <c r="A43" s="41"/>
      <c r="B43" s="41"/>
      <c r="C43" s="41"/>
      <c r="D43" s="41"/>
      <c r="E43" s="41"/>
    </row>
    <row r="44" spans="1:5" x14ac:dyDescent="0.55000000000000004">
      <c r="A44" s="41"/>
      <c r="B44" s="41"/>
      <c r="C44" s="41"/>
      <c r="D44" s="41"/>
      <c r="E44" s="41"/>
    </row>
    <row r="45" spans="1:5" ht="71.400000000000006" customHeight="1" x14ac:dyDescent="0.55000000000000004">
      <c r="A45" s="41"/>
      <c r="B45" s="41"/>
      <c r="C45" s="41"/>
      <c r="D45" s="41"/>
      <c r="E45" s="41"/>
    </row>
  </sheetData>
  <sheetProtection algorithmName="SHA-512" hashValue="bxdAkJy0I0sZwmGBfK6W6eGLl4QRYOstutyS9+m1F8kUy+d9mxmMXB2d30okJ5RvHP6U48jesCZEy4EEQNXM+g==" saltValue="nU+CrrAnfU6togu7eSKcVg==" spinCount="100000" sheet="1" objects="1" scenarios="1"/>
  <mergeCells count="13">
    <mergeCell ref="A36:E45"/>
    <mergeCell ref="A27:A28"/>
    <mergeCell ref="B27:E28"/>
    <mergeCell ref="A29:A31"/>
    <mergeCell ref="B29:E31"/>
    <mergeCell ref="A32:A33"/>
    <mergeCell ref="B32:E33"/>
    <mergeCell ref="A3:A5"/>
    <mergeCell ref="A6:A8"/>
    <mergeCell ref="A9:A10"/>
    <mergeCell ref="A13:A16"/>
    <mergeCell ref="A17:A23"/>
    <mergeCell ref="A24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A15B-9CB7-4C16-B9F8-49A11E5DD787}">
  <dimension ref="A1:W74"/>
  <sheetViews>
    <sheetView rightToLeft="1" zoomScale="40" zoomScaleNormal="40" workbookViewId="0">
      <selection activeCell="A55" sqref="A55:W74"/>
    </sheetView>
  </sheetViews>
  <sheetFormatPr defaultRowHeight="14.4" x14ac:dyDescent="0.55000000000000004"/>
  <cols>
    <col min="1" max="1" width="18.68359375" customWidth="1"/>
    <col min="2" max="2" width="14.68359375" bestFit="1" customWidth="1"/>
    <col min="12" max="12" width="32.68359375" customWidth="1"/>
    <col min="19" max="19" width="23.47265625" customWidth="1"/>
    <col min="20" max="20" width="36.05078125" customWidth="1"/>
    <col min="22" max="22" width="24" customWidth="1"/>
    <col min="23" max="23" width="23.20703125" customWidth="1"/>
  </cols>
  <sheetData>
    <row r="1" spans="1:23" ht="76.5" x14ac:dyDescent="0.55000000000000004">
      <c r="A1" s="51" t="s">
        <v>77</v>
      </c>
      <c r="B1" s="51" t="s">
        <v>12</v>
      </c>
      <c r="C1" s="51" t="s">
        <v>14</v>
      </c>
      <c r="D1" s="51" t="s">
        <v>78</v>
      </c>
      <c r="E1" s="51" t="s">
        <v>79</v>
      </c>
      <c r="F1" s="51" t="s">
        <v>80</v>
      </c>
      <c r="G1" s="51" t="s">
        <v>81</v>
      </c>
      <c r="H1" s="51" t="s">
        <v>82</v>
      </c>
      <c r="I1" s="51" t="s">
        <v>83</v>
      </c>
      <c r="J1" s="51" t="s">
        <v>84</v>
      </c>
      <c r="K1" s="51" t="s">
        <v>85</v>
      </c>
      <c r="L1" s="51" t="s">
        <v>86</v>
      </c>
      <c r="M1" s="51" t="s">
        <v>87</v>
      </c>
      <c r="N1" s="51" t="s">
        <v>88</v>
      </c>
      <c r="O1" s="51" t="s">
        <v>89</v>
      </c>
      <c r="P1" s="51" t="s">
        <v>90</v>
      </c>
      <c r="Q1" s="51" t="s">
        <v>91</v>
      </c>
      <c r="R1" s="51" t="s">
        <v>92</v>
      </c>
      <c r="S1" s="51" t="s">
        <v>93</v>
      </c>
      <c r="T1" s="51" t="s">
        <v>94</v>
      </c>
      <c r="U1" s="51" t="s">
        <v>95</v>
      </c>
      <c r="V1" s="51" t="s">
        <v>96</v>
      </c>
      <c r="W1" s="51" t="s">
        <v>97</v>
      </c>
    </row>
    <row r="2" spans="1:23" ht="54" x14ac:dyDescent="0.55000000000000004">
      <c r="A2" s="59" t="s">
        <v>114</v>
      </c>
      <c r="B2" s="60">
        <v>45983</v>
      </c>
      <c r="C2" s="59" t="s">
        <v>98</v>
      </c>
      <c r="D2" s="59" t="s">
        <v>133</v>
      </c>
      <c r="E2" s="59">
        <v>31</v>
      </c>
      <c r="F2" s="59">
        <v>34.4</v>
      </c>
      <c r="G2" s="59">
        <v>29.5</v>
      </c>
      <c r="H2" s="59">
        <v>42</v>
      </c>
      <c r="I2" s="59">
        <v>42</v>
      </c>
      <c r="J2" s="59">
        <v>35</v>
      </c>
      <c r="K2" s="59">
        <v>0</v>
      </c>
      <c r="L2" s="59" t="s">
        <v>8</v>
      </c>
      <c r="M2" s="59">
        <v>70</v>
      </c>
      <c r="N2" s="59">
        <v>13.6</v>
      </c>
      <c r="O2" s="59">
        <v>140</v>
      </c>
      <c r="P2" s="59">
        <v>20</v>
      </c>
      <c r="Q2" s="59">
        <v>4</v>
      </c>
      <c r="R2" s="59">
        <v>60</v>
      </c>
      <c r="S2" s="59" t="s">
        <v>106</v>
      </c>
      <c r="T2" s="59" t="s">
        <v>8</v>
      </c>
      <c r="U2" s="59" t="s">
        <v>8</v>
      </c>
      <c r="V2" s="59" t="s">
        <v>101</v>
      </c>
      <c r="W2" s="61"/>
    </row>
    <row r="3" spans="1:23" ht="61.2" customHeight="1" x14ac:dyDescent="0.55000000000000004">
      <c r="A3" s="56" t="s">
        <v>115</v>
      </c>
      <c r="B3" s="57">
        <v>45984</v>
      </c>
      <c r="C3" s="56" t="s">
        <v>100</v>
      </c>
      <c r="D3" s="56" t="s">
        <v>121</v>
      </c>
      <c r="E3" s="56">
        <v>31.5</v>
      </c>
      <c r="F3" s="56">
        <v>34.700000000000003</v>
      </c>
      <c r="G3" s="56">
        <v>30</v>
      </c>
      <c r="H3" s="56">
        <v>41</v>
      </c>
      <c r="I3" s="56">
        <v>41</v>
      </c>
      <c r="J3" s="56">
        <v>34</v>
      </c>
      <c r="K3" s="56">
        <v>2</v>
      </c>
      <c r="L3" s="56" t="s">
        <v>8</v>
      </c>
      <c r="M3" s="56">
        <v>80</v>
      </c>
      <c r="N3" s="56">
        <v>15.6</v>
      </c>
      <c r="O3" s="56">
        <v>160</v>
      </c>
      <c r="P3" s="56">
        <v>20</v>
      </c>
      <c r="Q3" s="56">
        <v>4</v>
      </c>
      <c r="R3" s="56">
        <v>60</v>
      </c>
      <c r="S3" s="56" t="s">
        <v>122</v>
      </c>
      <c r="T3" s="56" t="s">
        <v>8</v>
      </c>
      <c r="U3" s="56" t="s">
        <v>8</v>
      </c>
      <c r="V3" s="56" t="s">
        <v>101</v>
      </c>
      <c r="W3" s="58"/>
    </row>
    <row r="4" spans="1:23" ht="64.5" customHeight="1" x14ac:dyDescent="0.55000000000000004">
      <c r="A4" s="59" t="s">
        <v>116</v>
      </c>
      <c r="B4" s="60">
        <v>45985</v>
      </c>
      <c r="C4" s="59" t="s">
        <v>120</v>
      </c>
      <c r="D4" s="59" t="s">
        <v>123</v>
      </c>
      <c r="E4" s="59">
        <v>31</v>
      </c>
      <c r="F4" s="59">
        <v>34.700000000000003</v>
      </c>
      <c r="G4" s="59">
        <v>29.1</v>
      </c>
      <c r="H4" s="59">
        <v>48</v>
      </c>
      <c r="I4" s="59">
        <v>51</v>
      </c>
      <c r="J4" s="59">
        <v>37</v>
      </c>
      <c r="K4" s="59">
        <v>4</v>
      </c>
      <c r="L4" s="59" t="s">
        <v>105</v>
      </c>
      <c r="M4" s="59">
        <v>90</v>
      </c>
      <c r="N4" s="59">
        <v>17.600000000000001</v>
      </c>
      <c r="O4" s="59">
        <v>160</v>
      </c>
      <c r="P4" s="59">
        <v>20</v>
      </c>
      <c r="Q4" s="59">
        <v>4</v>
      </c>
      <c r="R4" s="59">
        <v>50</v>
      </c>
      <c r="S4" s="59" t="s">
        <v>124</v>
      </c>
      <c r="T4" s="59" t="s">
        <v>105</v>
      </c>
      <c r="U4" s="59" t="s">
        <v>105</v>
      </c>
      <c r="V4" s="59" t="s">
        <v>101</v>
      </c>
      <c r="W4" s="61"/>
    </row>
    <row r="5" spans="1:23" ht="70.8" customHeight="1" x14ac:dyDescent="0.55000000000000004">
      <c r="A5" s="56" t="s">
        <v>117</v>
      </c>
      <c r="B5" s="57">
        <v>45986</v>
      </c>
      <c r="C5" s="56" t="s">
        <v>102</v>
      </c>
      <c r="D5" s="56" t="s">
        <v>125</v>
      </c>
      <c r="E5" s="56">
        <v>31.6</v>
      </c>
      <c r="F5" s="56">
        <v>34.200000000000003</v>
      </c>
      <c r="G5" s="56">
        <v>29.7</v>
      </c>
      <c r="H5" s="56">
        <v>40</v>
      </c>
      <c r="I5" s="56">
        <v>48</v>
      </c>
      <c r="J5" s="56">
        <v>30</v>
      </c>
      <c r="K5" s="56">
        <v>2</v>
      </c>
      <c r="L5" s="56" t="s">
        <v>105</v>
      </c>
      <c r="M5" s="56">
        <v>100</v>
      </c>
      <c r="N5" s="56">
        <v>20</v>
      </c>
      <c r="O5" s="56">
        <v>160</v>
      </c>
      <c r="P5" s="56">
        <v>20</v>
      </c>
      <c r="Q5" s="56">
        <v>4</v>
      </c>
      <c r="R5" s="56">
        <v>40</v>
      </c>
      <c r="S5" s="56" t="s">
        <v>126</v>
      </c>
      <c r="T5" s="56" t="s">
        <v>105</v>
      </c>
      <c r="U5" s="56" t="s">
        <v>105</v>
      </c>
      <c r="V5" s="56" t="s">
        <v>101</v>
      </c>
      <c r="W5" s="58"/>
    </row>
    <row r="6" spans="1:23" ht="85.2" customHeight="1" x14ac:dyDescent="0.55000000000000004">
      <c r="A6" s="59" t="s">
        <v>118</v>
      </c>
      <c r="B6" s="60">
        <v>45987</v>
      </c>
      <c r="C6" s="59" t="s">
        <v>103</v>
      </c>
      <c r="D6" s="59">
        <v>12</v>
      </c>
      <c r="E6" s="59">
        <v>30</v>
      </c>
      <c r="F6" s="59">
        <v>33</v>
      </c>
      <c r="G6" s="59">
        <v>29</v>
      </c>
      <c r="H6" s="59">
        <v>40</v>
      </c>
      <c r="I6" s="59">
        <v>43</v>
      </c>
      <c r="J6" s="59">
        <v>35</v>
      </c>
      <c r="K6" s="59">
        <v>200</v>
      </c>
      <c r="L6" s="59" t="s">
        <v>127</v>
      </c>
      <c r="M6" s="59">
        <v>100</v>
      </c>
      <c r="N6" s="59">
        <v>20</v>
      </c>
      <c r="O6" s="59">
        <v>200</v>
      </c>
      <c r="P6" s="59">
        <v>20</v>
      </c>
      <c r="Q6" s="59">
        <v>4</v>
      </c>
      <c r="R6" s="59">
        <v>40</v>
      </c>
      <c r="S6" s="59" t="s">
        <v>128</v>
      </c>
      <c r="T6" s="59" t="s">
        <v>129</v>
      </c>
      <c r="U6" s="59" t="s">
        <v>130</v>
      </c>
      <c r="V6" s="59" t="s">
        <v>99</v>
      </c>
      <c r="W6" s="59" t="s">
        <v>131</v>
      </c>
    </row>
    <row r="7" spans="1:23" ht="61.2" customHeight="1" x14ac:dyDescent="0.55000000000000004">
      <c r="A7" s="56" t="s">
        <v>119</v>
      </c>
      <c r="B7" s="57">
        <v>45988</v>
      </c>
      <c r="C7" s="56" t="s">
        <v>104</v>
      </c>
      <c r="D7" s="56" t="s">
        <v>132</v>
      </c>
      <c r="E7" s="56">
        <v>31.6</v>
      </c>
      <c r="F7" s="56">
        <v>34.1</v>
      </c>
      <c r="G7" s="56">
        <v>29</v>
      </c>
      <c r="H7" s="56">
        <v>41</v>
      </c>
      <c r="I7" s="56">
        <v>43</v>
      </c>
      <c r="J7" s="56">
        <v>35</v>
      </c>
      <c r="K7" s="56">
        <v>1</v>
      </c>
      <c r="L7" s="56" t="s">
        <v>105</v>
      </c>
      <c r="M7" s="56">
        <v>100</v>
      </c>
      <c r="N7" s="56">
        <v>20</v>
      </c>
      <c r="O7" s="56">
        <v>200</v>
      </c>
      <c r="P7" s="56">
        <v>20</v>
      </c>
      <c r="Q7" s="56">
        <v>4</v>
      </c>
      <c r="R7" s="56">
        <v>60</v>
      </c>
      <c r="S7" s="56" t="s">
        <v>106</v>
      </c>
      <c r="T7" s="56" t="s">
        <v>105</v>
      </c>
      <c r="U7" s="56" t="s">
        <v>105</v>
      </c>
      <c r="V7" s="56" t="s">
        <v>101</v>
      </c>
      <c r="W7" s="58"/>
    </row>
    <row r="8" spans="1:23" x14ac:dyDescent="0.55000000000000004">
      <c r="A8" s="52" t="s">
        <v>107</v>
      </c>
      <c r="B8" s="52"/>
      <c r="C8" s="53" t="s">
        <v>8</v>
      </c>
      <c r="D8" s="53" t="s">
        <v>8</v>
      </c>
      <c r="E8" s="53" t="s">
        <v>8</v>
      </c>
      <c r="F8" s="53" t="s">
        <v>8</v>
      </c>
      <c r="G8" s="53" t="s">
        <v>8</v>
      </c>
      <c r="H8" s="53" t="s">
        <v>8</v>
      </c>
      <c r="I8" s="53" t="s">
        <v>8</v>
      </c>
      <c r="J8" s="53" t="s">
        <v>8</v>
      </c>
      <c r="K8" s="53">
        <f>SUM(K3:K7)</f>
        <v>209</v>
      </c>
      <c r="L8" s="53" t="s">
        <v>8</v>
      </c>
      <c r="M8" s="53">
        <f>SUM(M3:M7)</f>
        <v>470</v>
      </c>
      <c r="N8" s="53">
        <f>SUM(N3:N7)</f>
        <v>93.2</v>
      </c>
      <c r="O8" s="53">
        <f>SUM(O2:O7)</f>
        <v>1020</v>
      </c>
      <c r="P8" s="53" t="s">
        <v>8</v>
      </c>
      <c r="Q8" s="53" t="s">
        <v>8</v>
      </c>
      <c r="R8" s="53">
        <f>SUM(R3:R7)</f>
        <v>250</v>
      </c>
      <c r="S8" s="53" t="s">
        <v>8</v>
      </c>
      <c r="T8" s="53" t="s">
        <v>8</v>
      </c>
      <c r="U8" s="53" t="s">
        <v>8</v>
      </c>
      <c r="V8" s="53" t="s">
        <v>8</v>
      </c>
      <c r="W8" s="53" t="s">
        <v>8</v>
      </c>
    </row>
    <row r="9" spans="1:23" x14ac:dyDescent="0.55000000000000004">
      <c r="A9" s="52"/>
      <c r="B9" s="52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</row>
    <row r="55" spans="1:23" x14ac:dyDescent="0.55000000000000004">
      <c r="A55" s="62" t="s">
        <v>76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</row>
    <row r="56" spans="1:23" x14ac:dyDescent="0.55000000000000004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</row>
    <row r="57" spans="1:23" x14ac:dyDescent="0.55000000000000004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</row>
    <row r="58" spans="1:23" x14ac:dyDescent="0.55000000000000004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</row>
    <row r="59" spans="1:23" x14ac:dyDescent="0.55000000000000004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</row>
    <row r="60" spans="1:23" x14ac:dyDescent="0.55000000000000004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</row>
    <row r="61" spans="1:23" x14ac:dyDescent="0.55000000000000004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</row>
    <row r="62" spans="1:23" x14ac:dyDescent="0.55000000000000004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</row>
    <row r="63" spans="1:23" x14ac:dyDescent="0.55000000000000004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</row>
    <row r="64" spans="1:23" x14ac:dyDescent="0.5500000000000000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</row>
    <row r="65" spans="1:23" x14ac:dyDescent="0.55000000000000004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</row>
    <row r="66" spans="1:23" x14ac:dyDescent="0.55000000000000004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</row>
    <row r="67" spans="1:23" x14ac:dyDescent="0.55000000000000004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</row>
    <row r="68" spans="1:23" x14ac:dyDescent="0.55000000000000004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</row>
    <row r="69" spans="1:23" x14ac:dyDescent="0.55000000000000004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</row>
    <row r="70" spans="1:23" x14ac:dyDescent="0.55000000000000004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</row>
    <row r="71" spans="1:23" x14ac:dyDescent="0.55000000000000004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</row>
    <row r="72" spans="1:23" x14ac:dyDescent="0.55000000000000004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</row>
    <row r="73" spans="1:23" x14ac:dyDescent="0.55000000000000004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</row>
    <row r="74" spans="1:23" x14ac:dyDescent="0.5500000000000000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</row>
  </sheetData>
  <mergeCells count="23">
    <mergeCell ref="T8:T9"/>
    <mergeCell ref="U8:U9"/>
    <mergeCell ref="V8:V9"/>
    <mergeCell ref="W8:W9"/>
    <mergeCell ref="A55:W74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Date</vt:lpstr>
      <vt:lpstr>Daily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اسلام محفوظ ياسين</cp:lastModifiedBy>
  <dcterms:created xsi:type="dcterms:W3CDTF">2015-06-05T18:17:20Z</dcterms:created>
  <dcterms:modified xsi:type="dcterms:W3CDTF">2025-11-28T19:01:51Z</dcterms:modified>
</cp:coreProperties>
</file>